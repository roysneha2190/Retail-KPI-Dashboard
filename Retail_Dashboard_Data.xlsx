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Dashboard" sheetId="1" state="visible" r:id="rId1"/>
    <sheet name="Overall_KPIs" sheetId="2" state="visible" r:id="rId2"/>
    <sheet name="Categories" sheetId="3" state="visible" r:id="rId3"/>
    <sheet name="Count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vs 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'Categories'!B1</f>
            </strRef>
          </tx>
          <spPr>
            <a:ln>
              <a:prstDash val="solid"/>
            </a:ln>
          </spPr>
          <cat>
            <numRef>
              <f>'Categories'!$A$2:$A$5</f>
            </numRef>
          </cat>
          <val>
            <numRef>
              <f>'Categories'!$B$2:$B$5</f>
            </numRef>
          </val>
        </ser>
        <ser>
          <idx val="1"/>
          <order val="1"/>
          <tx>
            <strRef>
              <f>'Categories'!C1</f>
            </strRef>
          </tx>
          <spPr>
            <a:ln>
              <a:prstDash val="solid"/>
            </a:ln>
          </spPr>
          <cat>
            <numRef>
              <f>'Categories'!$A$2:$A$5</f>
            </numRef>
          </cat>
          <val>
            <numRef>
              <f>'Categories'!$C$2:$C$5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Financials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5 Global Markets Share</a:t>
            </a:r>
          </a:p>
        </rich>
      </tx>
    </title>
    <plotArea>
      <pieChart>
        <varyColors val="1"/>
        <ser>
          <idx val="0"/>
          <order val="0"/>
          <tx>
            <strRef>
              <f>'Countries'!B1</f>
            </strRef>
          </tx>
          <spPr>
            <a:ln>
              <a:prstDash val="solid"/>
            </a:ln>
          </spPr>
          <cat>
            <numRef>
              <f>'Countries'!$A$2:$A$6</f>
            </numRef>
          </cat>
          <val>
            <numRef>
              <f>'Countries'!$B$2:$B$6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6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RETAIL INTELLIGENCE EXECUTIVE DASHBOARD</t>
        </is>
      </c>
    </row>
    <row r="2"/>
    <row r="3">
      <c r="A3" s="2" t="inlineStr">
        <is>
          <t>Total Orders</t>
        </is>
      </c>
      <c r="B3" s="2" t="inlineStr">
        <is>
          <t>Total Revenue</t>
        </is>
      </c>
      <c r="C3" s="2" t="inlineStr">
        <is>
          <t>Total Profit</t>
        </is>
      </c>
      <c r="D3" s="2" t="inlineStr">
        <is>
          <t>Profit Margin</t>
        </is>
      </c>
    </row>
    <row r="4">
      <c r="A4" s="3" t="n">
        <v>2000</v>
      </c>
      <c r="B4" s="4" t="n">
        <v>484559.34</v>
      </c>
      <c r="C4" s="4" t="n">
        <v>158872.32</v>
      </c>
      <c r="D4" s="3" t="inlineStr">
        <is>
          <t>32.79%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Total_Revenue</t>
        </is>
      </c>
      <c r="C1" t="inlineStr">
        <is>
          <t>Total_Profit</t>
        </is>
      </c>
      <c r="D1" t="inlineStr">
        <is>
          <t>Profit_Margin_Percent</t>
        </is>
      </c>
    </row>
    <row r="2">
      <c r="A2" t="n">
        <v>2000</v>
      </c>
      <c r="B2" t="n">
        <v>484559.34</v>
      </c>
      <c r="C2" t="n">
        <v>158872.32</v>
      </c>
      <c r="D2" t="n">
        <v>32.79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Revenue</t>
        </is>
      </c>
      <c r="C1" t="inlineStr">
        <is>
          <t>Profit</t>
        </is>
      </c>
    </row>
    <row r="2">
      <c r="A2" t="inlineStr">
        <is>
          <t>Furniture</t>
        </is>
      </c>
      <c r="B2" t="n">
        <v>256274.68</v>
      </c>
      <c r="C2" t="n">
        <v>81171.57000000001</v>
      </c>
    </row>
    <row r="3">
      <c r="A3" t="inlineStr">
        <is>
          <t>Technology</t>
        </is>
      </c>
      <c r="B3" t="n">
        <v>139518.22</v>
      </c>
      <c r="C3" t="n">
        <v>48268.65</v>
      </c>
    </row>
    <row r="4">
      <c r="A4" t="inlineStr">
        <is>
          <t>Clothing &amp; Accessories</t>
        </is>
      </c>
      <c r="B4" t="n">
        <v>69375.63</v>
      </c>
      <c r="C4" t="n">
        <v>26112.94</v>
      </c>
    </row>
    <row r="5">
      <c r="A5" t="inlineStr">
        <is>
          <t>Office Supplies</t>
        </is>
      </c>
      <c r="B5" t="n">
        <v>19390.81</v>
      </c>
      <c r="C5" t="n">
        <v>3319.16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Total_Sales</t>
        </is>
      </c>
    </row>
    <row r="2">
      <c r="A2" t="inlineStr">
        <is>
          <t>Mexico</t>
        </is>
      </c>
      <c r="B2" t="n">
        <v>47217.3</v>
      </c>
    </row>
    <row r="3">
      <c r="A3" t="inlineStr">
        <is>
          <t>Canada</t>
        </is>
      </c>
      <c r="B3" t="n">
        <v>45326.55</v>
      </c>
    </row>
    <row r="4">
      <c r="A4" t="inlineStr">
        <is>
          <t>United States</t>
        </is>
      </c>
      <c r="B4" t="n">
        <v>41332.53</v>
      </c>
    </row>
    <row r="5">
      <c r="A5" t="inlineStr">
        <is>
          <t>Japan</t>
        </is>
      </c>
      <c r="B5" t="n">
        <v>30950.19</v>
      </c>
    </row>
    <row r="6">
      <c r="A6" t="inlineStr">
        <is>
          <t>United Kingdom</t>
        </is>
      </c>
      <c r="B6" t="n">
        <v>30185.46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2026-06-10T05:04:59Z</dcterms:created>
  <dcterms:modified xsi:type="dcterms:W3CDTF">2026-06-10T05:04:59Z</dcterms:modified>
</cp:coreProperties>
</file>